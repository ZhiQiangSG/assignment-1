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ngzhiqiang/Documents/assignment 1/"/>
    </mc:Choice>
  </mc:AlternateContent>
  <xr:revisionPtr revIDLastSave="0" documentId="13_ncr:1_{EAADD263-3D23-184F-959D-03E40A584975}" xr6:coauthVersionLast="47" xr6:coauthVersionMax="47" xr10:uidLastSave="{00000000-0000-0000-0000-000000000000}"/>
  <bookViews>
    <workbookView xWindow="0" yWindow="600" windowWidth="28800" windowHeight="15560" activeTab="1" xr2:uid="{7390A2E6-FD8B-1E41-AA97-6AD253945E87}"/>
  </bookViews>
  <sheets>
    <sheet name="historical" sheetId="1" r:id="rId1"/>
    <sheet name="foreca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</calcChain>
</file>

<file path=xl/sharedStrings.xml><?xml version="1.0" encoding="utf-8"?>
<sst xmlns="http://schemas.openxmlformats.org/spreadsheetml/2006/main" count="18" uniqueCount="11">
  <si>
    <t>CPI (-U)</t>
  </si>
  <si>
    <t>runway_capacity</t>
  </si>
  <si>
    <t>terminal_capacity</t>
  </si>
  <si>
    <t>year</t>
  </si>
  <si>
    <t>jet_fuel_price (nominal)</t>
  </si>
  <si>
    <t>jet_fuel_price</t>
  </si>
  <si>
    <t>real_gdp</t>
  </si>
  <si>
    <t>real_gdp_growth_rate</t>
  </si>
  <si>
    <t>terminal_passengers</t>
  </si>
  <si>
    <t>aircraft_movement</t>
  </si>
  <si>
    <t>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</si>
</sst>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3" fontId="0" fillId="0" borderId="0" xfId="0" applyNumberFormat="1"/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A4D6-DDD1-9F4C-9411-DF4F0488E377}">
  <dimension ref="A1:J22"/>
  <sheetViews>
    <sheetView zoomScale="161" workbookViewId="0">
      <selection activeCell="C24" sqref="C24"/>
    </sheetView>
  </sheetViews>
  <sheetFormatPr baseColWidth="10" defaultRowHeight="16" x14ac:dyDescent="0.2"/>
  <cols>
    <col min="1" max="1" width="5.1640625" bestFit="1" customWidth="1"/>
    <col min="2" max="2" width="5.5" bestFit="1" customWidth="1"/>
    <col min="3" max="3" width="17" bestFit="1" customWidth="1"/>
    <col min="4" max="4" width="15.83203125" bestFit="1" customWidth="1"/>
    <col min="5" max="5" width="14.83203125" bestFit="1" customWidth="1"/>
    <col min="6" max="6" width="16.6640625" bestFit="1" customWidth="1"/>
    <col min="7" max="7" width="18" bestFit="1" customWidth="1"/>
    <col min="8" max="8" width="20.5" bestFit="1" customWidth="1"/>
    <col min="9" max="9" width="7.5" bestFit="1" customWidth="1"/>
    <col min="10" max="10" width="12.33203125" bestFit="1" customWidth="1"/>
  </cols>
  <sheetData>
    <row r="1" spans="1:10" x14ac:dyDescent="0.2">
      <c r="A1" t="s">
        <v>3</v>
      </c>
      <c r="B1" t="s">
        <v>10</v>
      </c>
      <c r="C1" t="s">
        <v>9</v>
      </c>
      <c r="D1" t="s">
        <v>2</v>
      </c>
      <c r="E1" t="s">
        <v>1</v>
      </c>
      <c r="F1" t="s">
        <v>6</v>
      </c>
      <c r="G1" t="s">
        <v>8</v>
      </c>
      <c r="H1" t="s">
        <v>4</v>
      </c>
      <c r="I1" t="s">
        <v>0</v>
      </c>
      <c r="J1" t="s">
        <v>5</v>
      </c>
    </row>
    <row r="2" spans="1:10" x14ac:dyDescent="0.2">
      <c r="A2">
        <v>2005</v>
      </c>
      <c r="B2">
        <v>0</v>
      </c>
      <c r="C2">
        <v>193511</v>
      </c>
      <c r="D2">
        <v>25000000</v>
      </c>
      <c r="E2" s="2">
        <v>241000</v>
      </c>
      <c r="F2" s="2">
        <v>1940000000000</v>
      </c>
      <c r="G2" s="2">
        <v>21998673</v>
      </c>
      <c r="H2">
        <v>1.72</v>
      </c>
      <c r="I2">
        <v>195.3</v>
      </c>
      <c r="J2">
        <f>H2*($I$22/I2)</f>
        <v>2.8349615975422422</v>
      </c>
    </row>
    <row r="3" spans="1:10" x14ac:dyDescent="0.2">
      <c r="A3">
        <v>2006</v>
      </c>
      <c r="B3">
        <v>0</v>
      </c>
      <c r="C3">
        <v>206693</v>
      </c>
      <c r="D3">
        <v>25000000</v>
      </c>
      <c r="E3" s="2">
        <v>241000</v>
      </c>
      <c r="F3" s="2">
        <v>1980000000000</v>
      </c>
      <c r="G3" s="2">
        <v>23687013</v>
      </c>
      <c r="H3">
        <v>1.92</v>
      </c>
      <c r="I3">
        <v>201.6</v>
      </c>
      <c r="J3">
        <f t="shared" ref="J3:J22" si="0">H3*($I$22/I3)</f>
        <v>3.0657142857142854</v>
      </c>
    </row>
    <row r="4" spans="1:10" x14ac:dyDescent="0.2">
      <c r="A4">
        <v>2007</v>
      </c>
      <c r="B4">
        <v>0</v>
      </c>
      <c r="C4">
        <v>208462</v>
      </c>
      <c r="D4" s="1">
        <v>25000000</v>
      </c>
      <c r="E4" s="2">
        <v>241000</v>
      </c>
      <c r="F4" s="2">
        <v>2040000000000</v>
      </c>
      <c r="G4" s="2">
        <v>23779697</v>
      </c>
      <c r="H4">
        <v>2.13</v>
      </c>
      <c r="I4">
        <v>207.3</v>
      </c>
      <c r="J4">
        <f t="shared" si="0"/>
        <v>3.3075108538350211</v>
      </c>
    </row>
    <row r="5" spans="1:10" x14ac:dyDescent="0.2">
      <c r="A5">
        <v>2008</v>
      </c>
      <c r="B5">
        <v>0</v>
      </c>
      <c r="C5">
        <v>193282</v>
      </c>
      <c r="D5">
        <v>35000000</v>
      </c>
      <c r="E5" s="3">
        <v>264000</v>
      </c>
      <c r="F5" s="2">
        <v>2040000000000</v>
      </c>
      <c r="G5" s="2">
        <v>22360364</v>
      </c>
      <c r="H5">
        <v>2.96</v>
      </c>
      <c r="I5">
        <v>215.3</v>
      </c>
      <c r="J5">
        <f t="shared" si="0"/>
        <v>4.4255643288434738</v>
      </c>
    </row>
    <row r="6" spans="1:10" x14ac:dyDescent="0.2">
      <c r="A6">
        <v>2009</v>
      </c>
      <c r="B6">
        <v>0</v>
      </c>
      <c r="C6">
        <v>167817</v>
      </c>
      <c r="D6">
        <v>35000000</v>
      </c>
      <c r="E6" s="3">
        <v>264000</v>
      </c>
      <c r="F6" s="2">
        <v>1940000000000</v>
      </c>
      <c r="G6" s="2">
        <v>19957077</v>
      </c>
      <c r="H6">
        <v>1.66</v>
      </c>
      <c r="I6">
        <v>214.5</v>
      </c>
      <c r="J6">
        <f t="shared" si="0"/>
        <v>2.4911608391608389</v>
      </c>
    </row>
    <row r="7" spans="1:10" x14ac:dyDescent="0.2">
      <c r="A7">
        <v>2010</v>
      </c>
      <c r="B7">
        <v>0</v>
      </c>
      <c r="C7">
        <v>155140</v>
      </c>
      <c r="D7">
        <v>35000000</v>
      </c>
      <c r="E7" s="3">
        <v>264000</v>
      </c>
      <c r="F7" s="2">
        <v>1990000000000</v>
      </c>
      <c r="G7" s="2">
        <v>18573592</v>
      </c>
      <c r="H7">
        <v>2.15</v>
      </c>
      <c r="I7">
        <v>218.1</v>
      </c>
      <c r="J7">
        <f t="shared" si="0"/>
        <v>3.1732462173314993</v>
      </c>
    </row>
    <row r="8" spans="1:10" x14ac:dyDescent="0.2">
      <c r="A8">
        <v>2011</v>
      </c>
      <c r="B8">
        <v>0</v>
      </c>
      <c r="C8">
        <v>148317</v>
      </c>
      <c r="D8">
        <v>35000000</v>
      </c>
      <c r="E8" s="3">
        <v>264000</v>
      </c>
      <c r="F8" s="2">
        <v>2000000000000</v>
      </c>
      <c r="G8" s="2">
        <v>18052843</v>
      </c>
      <c r="H8">
        <v>3</v>
      </c>
      <c r="I8">
        <v>224.9</v>
      </c>
      <c r="J8">
        <f t="shared" si="0"/>
        <v>4.2939084037349922</v>
      </c>
    </row>
    <row r="9" spans="1:10" x14ac:dyDescent="0.2">
      <c r="A9">
        <v>2012</v>
      </c>
      <c r="B9">
        <v>0</v>
      </c>
      <c r="C9">
        <v>143511</v>
      </c>
      <c r="D9">
        <v>35000000</v>
      </c>
      <c r="E9" s="3">
        <v>264000</v>
      </c>
      <c r="F9" s="2">
        <v>2040000000000</v>
      </c>
      <c r="G9" s="2">
        <v>17472699</v>
      </c>
      <c r="H9">
        <v>3.06</v>
      </c>
      <c r="I9">
        <v>229.6</v>
      </c>
      <c r="J9">
        <f t="shared" si="0"/>
        <v>4.2901306620209052</v>
      </c>
    </row>
    <row r="10" spans="1:10" x14ac:dyDescent="0.2">
      <c r="A10">
        <v>2013</v>
      </c>
      <c r="B10">
        <v>0</v>
      </c>
      <c r="C10">
        <v>146324</v>
      </c>
      <c r="D10">
        <v>35000000</v>
      </c>
      <c r="E10" s="3">
        <v>264000</v>
      </c>
      <c r="F10" s="2">
        <v>2070000000000</v>
      </c>
      <c r="G10" s="2">
        <v>17852393</v>
      </c>
      <c r="H10">
        <v>2.92</v>
      </c>
      <c r="I10">
        <v>233</v>
      </c>
      <c r="J10">
        <f t="shared" si="0"/>
        <v>4.0341115879828324</v>
      </c>
    </row>
    <row r="11" spans="1:10" x14ac:dyDescent="0.2">
      <c r="A11">
        <v>2014</v>
      </c>
      <c r="B11">
        <v>0</v>
      </c>
      <c r="C11">
        <v>157117</v>
      </c>
      <c r="D11">
        <v>35000000</v>
      </c>
      <c r="E11" s="3">
        <v>264000</v>
      </c>
      <c r="F11" s="2">
        <v>2140000000000</v>
      </c>
      <c r="G11" s="2">
        <v>19941593</v>
      </c>
      <c r="H11">
        <v>2.69</v>
      </c>
      <c r="I11">
        <v>236.7</v>
      </c>
      <c r="J11">
        <f t="shared" si="0"/>
        <v>3.6582636248415716</v>
      </c>
    </row>
    <row r="12" spans="1:10" x14ac:dyDescent="0.2">
      <c r="A12">
        <v>2015</v>
      </c>
      <c r="B12">
        <v>0</v>
      </c>
      <c r="C12">
        <v>168629</v>
      </c>
      <c r="D12">
        <v>35000000</v>
      </c>
      <c r="E12" s="3">
        <v>264000</v>
      </c>
      <c r="F12" s="2">
        <v>2180000000000</v>
      </c>
      <c r="G12" s="2">
        <v>22519178</v>
      </c>
      <c r="H12">
        <v>1.52</v>
      </c>
      <c r="I12">
        <v>237</v>
      </c>
      <c r="J12">
        <f t="shared" si="0"/>
        <v>2.0645063291139238</v>
      </c>
    </row>
    <row r="13" spans="1:10" x14ac:dyDescent="0.2">
      <c r="A13">
        <v>2016</v>
      </c>
      <c r="B13">
        <v>0</v>
      </c>
      <c r="C13">
        <v>180430</v>
      </c>
      <c r="D13">
        <v>35000000</v>
      </c>
      <c r="E13" s="3">
        <v>264000</v>
      </c>
      <c r="F13" s="2">
        <v>2230000000000</v>
      </c>
      <c r="G13" s="2">
        <v>24320071</v>
      </c>
      <c r="H13">
        <v>1.25</v>
      </c>
      <c r="I13">
        <v>240</v>
      </c>
      <c r="J13">
        <f t="shared" si="0"/>
        <v>1.6765624999999997</v>
      </c>
    </row>
    <row r="14" spans="1:10" x14ac:dyDescent="0.2">
      <c r="A14">
        <v>2017</v>
      </c>
      <c r="B14">
        <v>0</v>
      </c>
      <c r="C14">
        <v>189919</v>
      </c>
      <c r="D14">
        <v>35000000</v>
      </c>
      <c r="E14" s="3">
        <v>264000</v>
      </c>
      <c r="F14" s="2">
        <v>2300000000000</v>
      </c>
      <c r="G14" s="2">
        <v>25902618</v>
      </c>
      <c r="H14">
        <v>1.56</v>
      </c>
      <c r="I14">
        <v>245.1</v>
      </c>
      <c r="J14">
        <f t="shared" si="0"/>
        <v>2.048812729498164</v>
      </c>
    </row>
    <row r="15" spans="1:10" x14ac:dyDescent="0.2">
      <c r="A15">
        <v>2018</v>
      </c>
      <c r="B15">
        <v>0</v>
      </c>
      <c r="C15">
        <v>201614</v>
      </c>
      <c r="D15">
        <v>35000000</v>
      </c>
      <c r="E15" s="3">
        <v>264000</v>
      </c>
      <c r="F15" s="2">
        <v>2330000000000</v>
      </c>
      <c r="G15" s="2">
        <v>27996116</v>
      </c>
      <c r="H15">
        <v>2.0299999999999998</v>
      </c>
      <c r="I15">
        <v>251.1</v>
      </c>
      <c r="J15">
        <f t="shared" si="0"/>
        <v>2.6023775388291512</v>
      </c>
    </row>
    <row r="16" spans="1:10" x14ac:dyDescent="0.2">
      <c r="A16">
        <v>2019</v>
      </c>
      <c r="B16">
        <v>0</v>
      </c>
      <c r="C16">
        <v>199925</v>
      </c>
      <c r="D16">
        <v>35000000</v>
      </c>
      <c r="E16" s="3">
        <v>264000</v>
      </c>
      <c r="F16" s="2">
        <v>2360000000000</v>
      </c>
      <c r="G16" s="2">
        <v>28139051</v>
      </c>
      <c r="H16">
        <v>1.88</v>
      </c>
      <c r="I16">
        <v>255.7</v>
      </c>
      <c r="J16">
        <f t="shared" si="0"/>
        <v>2.3667266327727807</v>
      </c>
    </row>
    <row r="17" spans="1:10" x14ac:dyDescent="0.2">
      <c r="A17">
        <v>2020</v>
      </c>
      <c r="B17">
        <v>1</v>
      </c>
      <c r="C17">
        <v>86107</v>
      </c>
      <c r="D17">
        <v>35000000</v>
      </c>
      <c r="E17" s="3">
        <v>264000</v>
      </c>
      <c r="F17" s="2">
        <v>2120000000000</v>
      </c>
      <c r="G17" s="2">
        <v>7536869</v>
      </c>
      <c r="H17">
        <v>1.1000000000000001</v>
      </c>
      <c r="I17">
        <v>258.8</v>
      </c>
      <c r="J17">
        <f t="shared" si="0"/>
        <v>1.3681993817619784</v>
      </c>
    </row>
    <row r="18" spans="1:10" x14ac:dyDescent="0.2">
      <c r="A18">
        <v>2021</v>
      </c>
      <c r="B18">
        <v>1</v>
      </c>
      <c r="C18">
        <v>93316</v>
      </c>
      <c r="D18">
        <v>35000000</v>
      </c>
      <c r="E18" s="3">
        <v>264000</v>
      </c>
      <c r="F18" s="2">
        <v>2310000000000</v>
      </c>
      <c r="G18" s="2">
        <v>7145802</v>
      </c>
      <c r="H18">
        <v>1.89</v>
      </c>
      <c r="I18">
        <v>271</v>
      </c>
      <c r="J18">
        <f t="shared" si="0"/>
        <v>2.2449852398523986</v>
      </c>
    </row>
    <row r="19" spans="1:10" x14ac:dyDescent="0.2">
      <c r="A19">
        <v>2022</v>
      </c>
      <c r="B19">
        <v>1</v>
      </c>
      <c r="C19">
        <v>159502</v>
      </c>
      <c r="D19">
        <v>43000000</v>
      </c>
      <c r="E19" s="3">
        <v>264000</v>
      </c>
      <c r="F19" s="2">
        <v>2430000000000</v>
      </c>
      <c r="G19" s="2">
        <v>23289652</v>
      </c>
      <c r="H19">
        <v>3.37</v>
      </c>
      <c r="I19">
        <v>292.7</v>
      </c>
      <c r="J19">
        <f t="shared" si="0"/>
        <v>3.7061940553467716</v>
      </c>
    </row>
    <row r="20" spans="1:10" x14ac:dyDescent="0.2">
      <c r="A20">
        <v>2023</v>
      </c>
      <c r="B20">
        <v>1</v>
      </c>
      <c r="C20">
        <v>179135</v>
      </c>
      <c r="D20">
        <v>43000000</v>
      </c>
      <c r="E20" s="3">
        <v>264000</v>
      </c>
      <c r="F20" s="2">
        <v>2430000000000</v>
      </c>
      <c r="G20" s="2">
        <v>27951291</v>
      </c>
      <c r="H20">
        <v>2.7</v>
      </c>
      <c r="I20">
        <v>304.7</v>
      </c>
      <c r="J20">
        <f t="shared" si="0"/>
        <v>2.8524122087298984</v>
      </c>
    </row>
    <row r="21" spans="1:10" x14ac:dyDescent="0.2">
      <c r="A21">
        <v>2024</v>
      </c>
      <c r="B21">
        <v>0</v>
      </c>
      <c r="C21">
        <v>201031</v>
      </c>
      <c r="D21">
        <v>43000000</v>
      </c>
      <c r="E21" s="3">
        <v>264000</v>
      </c>
      <c r="F21" s="2">
        <v>2460000000000</v>
      </c>
      <c r="G21" s="2">
        <v>29694000</v>
      </c>
      <c r="H21">
        <v>2.34</v>
      </c>
      <c r="I21">
        <v>313.7</v>
      </c>
      <c r="J21">
        <f t="shared" si="0"/>
        <v>2.4011667197959832</v>
      </c>
    </row>
    <row r="22" spans="1:10" x14ac:dyDescent="0.2">
      <c r="A22">
        <v>2025</v>
      </c>
      <c r="B22">
        <v>0</v>
      </c>
      <c r="C22">
        <v>194881</v>
      </c>
      <c r="D22">
        <v>43000000</v>
      </c>
      <c r="E22" s="3">
        <v>264000</v>
      </c>
      <c r="F22" s="2">
        <v>2490000000000</v>
      </c>
      <c r="G22" s="2">
        <v>29758490</v>
      </c>
      <c r="H22">
        <v>2.19</v>
      </c>
      <c r="I22">
        <v>321.89999999999998</v>
      </c>
      <c r="J22">
        <f t="shared" si="0"/>
        <v>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106A-F2F0-8248-9EDD-AA1472B0BB5A}">
  <dimension ref="A1:H22"/>
  <sheetViews>
    <sheetView tabSelected="1" zoomScale="156" workbookViewId="0">
      <selection activeCell="C9" sqref="C9"/>
    </sheetView>
  </sheetViews>
  <sheetFormatPr baseColWidth="10" defaultRowHeight="16" x14ac:dyDescent="0.2"/>
  <cols>
    <col min="1" max="1" width="5.33203125" bestFit="1" customWidth="1"/>
    <col min="2" max="2" width="5.33203125" customWidth="1"/>
    <col min="3" max="3" width="15.83203125" bestFit="1" customWidth="1"/>
    <col min="4" max="4" width="14.83203125" bestFit="1" customWidth="1"/>
    <col min="5" max="5" width="18.83203125" bestFit="1" customWidth="1"/>
    <col min="6" max="6" width="17.1640625" bestFit="1" customWidth="1"/>
    <col min="7" max="7" width="18" bestFit="1" customWidth="1"/>
    <col min="8" max="8" width="12.1640625" bestFit="1" customWidth="1"/>
  </cols>
  <sheetData>
    <row r="1" spans="1:8" x14ac:dyDescent="0.2">
      <c r="A1" t="s">
        <v>3</v>
      </c>
      <c r="B1" t="s">
        <v>10</v>
      </c>
      <c r="C1" t="s">
        <v>2</v>
      </c>
      <c r="D1" t="s">
        <v>1</v>
      </c>
      <c r="E1" t="s">
        <v>7</v>
      </c>
      <c r="F1" t="s">
        <v>6</v>
      </c>
      <c r="G1" t="s">
        <v>8</v>
      </c>
      <c r="H1" t="s">
        <v>5</v>
      </c>
    </row>
    <row r="2" spans="1:8" x14ac:dyDescent="0.2">
      <c r="A2">
        <v>2026</v>
      </c>
      <c r="B2">
        <v>0</v>
      </c>
      <c r="C2">
        <v>43000000</v>
      </c>
      <c r="D2">
        <v>264000</v>
      </c>
      <c r="E2">
        <v>1.597146</v>
      </c>
      <c r="F2" s="2">
        <v>2529768935400</v>
      </c>
      <c r="G2" s="2">
        <v>34200000</v>
      </c>
      <c r="H2">
        <v>1.96</v>
      </c>
    </row>
    <row r="3" spans="1:8" x14ac:dyDescent="0.2">
      <c r="A3">
        <v>2027</v>
      </c>
      <c r="B3">
        <v>0</v>
      </c>
      <c r="C3">
        <v>43000000</v>
      </c>
      <c r="D3">
        <v>264000</v>
      </c>
      <c r="E3">
        <v>1.597146</v>
      </c>
      <c r="F3" s="2">
        <f>F2/100*(100+E3)</f>
        <v>2570173038760.9834</v>
      </c>
      <c r="G3" s="2">
        <v>34920000</v>
      </c>
      <c r="H3">
        <v>2.09</v>
      </c>
    </row>
    <row r="4" spans="1:8" x14ac:dyDescent="0.2">
      <c r="A4">
        <v>2028</v>
      </c>
      <c r="B4">
        <v>0</v>
      </c>
      <c r="C4">
        <v>43000000</v>
      </c>
      <c r="D4">
        <v>264000</v>
      </c>
      <c r="E4">
        <v>1.597146</v>
      </c>
      <c r="F4" s="2">
        <f t="shared" ref="F4:F21" si="0">F3/100*(100+E4)</f>
        <v>2611222454642.6328</v>
      </c>
      <c r="G4" s="2">
        <v>35180000</v>
      </c>
      <c r="H4">
        <v>2.17</v>
      </c>
    </row>
    <row r="5" spans="1:8" x14ac:dyDescent="0.2">
      <c r="A5">
        <v>2029</v>
      </c>
      <c r="B5">
        <v>0</v>
      </c>
      <c r="C5">
        <v>43000000</v>
      </c>
      <c r="D5">
        <v>264000</v>
      </c>
      <c r="E5">
        <v>1.597146</v>
      </c>
      <c r="F5" s="2">
        <f t="shared" si="0"/>
        <v>2652927489628.0591</v>
      </c>
      <c r="G5" s="2">
        <v>35350000</v>
      </c>
      <c r="H5">
        <v>2.2200000000000002</v>
      </c>
    </row>
    <row r="6" spans="1:8" x14ac:dyDescent="0.2">
      <c r="A6">
        <v>2030</v>
      </c>
      <c r="B6">
        <v>0</v>
      </c>
      <c r="C6">
        <v>43000000</v>
      </c>
      <c r="D6">
        <v>264000</v>
      </c>
      <c r="E6">
        <v>1.597146</v>
      </c>
      <c r="F6" s="2">
        <f t="shared" si="0"/>
        <v>2695298614911.5537</v>
      </c>
      <c r="G6" s="2">
        <v>37190000</v>
      </c>
      <c r="H6">
        <v>2.23</v>
      </c>
    </row>
    <row r="7" spans="1:8" x14ac:dyDescent="0.2">
      <c r="A7">
        <v>2031</v>
      </c>
      <c r="B7">
        <v>0</v>
      </c>
      <c r="C7">
        <v>43000000</v>
      </c>
      <c r="D7">
        <v>264000</v>
      </c>
      <c r="E7">
        <v>2.0615890000000001</v>
      </c>
      <c r="F7" s="2">
        <f t="shared" si="0"/>
        <v>2750864594673.7227</v>
      </c>
      <c r="G7" s="2">
        <v>38360000</v>
      </c>
      <c r="H7">
        <v>2.21</v>
      </c>
    </row>
    <row r="8" spans="1:8" x14ac:dyDescent="0.2">
      <c r="A8">
        <v>2032</v>
      </c>
      <c r="B8">
        <v>0</v>
      </c>
      <c r="C8">
        <v>43000000</v>
      </c>
      <c r="D8">
        <v>264000</v>
      </c>
      <c r="E8">
        <v>2.0615890000000001</v>
      </c>
      <c r="F8" s="2">
        <f t="shared" si="0"/>
        <v>2807576116562.4106</v>
      </c>
      <c r="G8" s="2">
        <v>39010000</v>
      </c>
      <c r="H8">
        <v>2.2200000000000002</v>
      </c>
    </row>
    <row r="9" spans="1:8" x14ac:dyDescent="0.2">
      <c r="A9">
        <v>2033</v>
      </c>
      <c r="B9">
        <v>0</v>
      </c>
      <c r="C9">
        <v>44000000</v>
      </c>
      <c r="D9">
        <v>264000</v>
      </c>
      <c r="E9">
        <v>2.0615890000000001</v>
      </c>
      <c r="F9" s="2">
        <f t="shared" si="0"/>
        <v>2865456796948.0884</v>
      </c>
      <c r="G9" s="2">
        <v>40080000</v>
      </c>
      <c r="H9">
        <v>2.27</v>
      </c>
    </row>
    <row r="10" spans="1:8" x14ac:dyDescent="0.2">
      <c r="A10">
        <v>2034</v>
      </c>
      <c r="B10">
        <v>0</v>
      </c>
      <c r="C10">
        <v>45000000</v>
      </c>
      <c r="D10">
        <v>264000</v>
      </c>
      <c r="E10">
        <v>2.0615890000000001</v>
      </c>
      <c r="F10" s="2">
        <f t="shared" si="0"/>
        <v>2924530739073.7227</v>
      </c>
      <c r="G10" s="2">
        <v>41080000</v>
      </c>
      <c r="H10">
        <v>2.34</v>
      </c>
    </row>
    <row r="11" spans="1:8" x14ac:dyDescent="0.2">
      <c r="A11">
        <v>2035</v>
      </c>
      <c r="B11">
        <v>0</v>
      </c>
      <c r="C11">
        <v>46000000</v>
      </c>
      <c r="D11">
        <v>264000</v>
      </c>
      <c r="E11">
        <v>2.0615890000000001</v>
      </c>
      <c r="F11" s="2">
        <f t="shared" si="0"/>
        <v>2984822543092.0854</v>
      </c>
      <c r="G11" s="2">
        <v>41080000</v>
      </c>
      <c r="H11">
        <v>2.36</v>
      </c>
    </row>
    <row r="12" spans="1:8" x14ac:dyDescent="0.2">
      <c r="A12">
        <v>2036</v>
      </c>
      <c r="B12">
        <v>0</v>
      </c>
      <c r="C12">
        <v>47000000</v>
      </c>
      <c r="D12">
        <v>264000</v>
      </c>
      <c r="E12">
        <v>2.071313</v>
      </c>
      <c r="F12" s="2">
        <f t="shared" si="0"/>
        <v>3046647560454.0825</v>
      </c>
      <c r="G12" s="2">
        <v>41750000</v>
      </c>
      <c r="H12">
        <v>2.39</v>
      </c>
    </row>
    <row r="13" spans="1:8" x14ac:dyDescent="0.2">
      <c r="A13">
        <v>2037</v>
      </c>
      <c r="B13">
        <v>0</v>
      </c>
      <c r="C13">
        <v>48000000</v>
      </c>
      <c r="D13">
        <v>264000</v>
      </c>
      <c r="E13">
        <v>2.071313</v>
      </c>
      <c r="F13" s="2">
        <f t="shared" si="0"/>
        <v>3109753167437.9507</v>
      </c>
      <c r="G13" s="2">
        <v>43040000</v>
      </c>
      <c r="H13">
        <v>2.4700000000000002</v>
      </c>
    </row>
    <row r="14" spans="1:8" x14ac:dyDescent="0.2">
      <c r="A14">
        <v>2038</v>
      </c>
      <c r="B14">
        <v>0</v>
      </c>
      <c r="C14">
        <v>49000000</v>
      </c>
      <c r="D14">
        <v>264000</v>
      </c>
      <c r="E14">
        <v>2.071313</v>
      </c>
      <c r="F14" s="2">
        <f t="shared" si="0"/>
        <v>3174165889063.0049</v>
      </c>
      <c r="G14" s="2">
        <v>42880000</v>
      </c>
      <c r="H14">
        <v>2.5</v>
      </c>
    </row>
    <row r="15" spans="1:8" x14ac:dyDescent="0.2">
      <c r="A15">
        <v>2039</v>
      </c>
      <c r="B15">
        <v>0</v>
      </c>
      <c r="C15">
        <v>50000000</v>
      </c>
      <c r="D15">
        <v>264000</v>
      </c>
      <c r="E15">
        <v>2.071313</v>
      </c>
      <c r="F15" s="2">
        <f t="shared" si="0"/>
        <v>3239912799764.7329</v>
      </c>
      <c r="G15" s="2">
        <v>43320000</v>
      </c>
      <c r="H15">
        <v>2.5499999999999998</v>
      </c>
    </row>
    <row r="16" spans="1:8" x14ac:dyDescent="0.2">
      <c r="A16">
        <v>2040</v>
      </c>
      <c r="B16">
        <v>0</v>
      </c>
      <c r="C16">
        <v>51000000</v>
      </c>
      <c r="D16">
        <v>264000</v>
      </c>
      <c r="E16">
        <v>2.071313</v>
      </c>
      <c r="F16" s="2">
        <f t="shared" si="0"/>
        <v>3307021534774.9238</v>
      </c>
      <c r="G16" s="2">
        <v>44850000</v>
      </c>
      <c r="H16">
        <v>2.59</v>
      </c>
    </row>
    <row r="17" spans="1:8" x14ac:dyDescent="0.2">
      <c r="A17">
        <v>2041</v>
      </c>
      <c r="B17">
        <v>0</v>
      </c>
      <c r="C17">
        <v>51000000</v>
      </c>
      <c r="D17">
        <v>264000</v>
      </c>
      <c r="E17">
        <v>1.98926</v>
      </c>
      <c r="F17" s="2">
        <f t="shared" si="0"/>
        <v>3372806791357.5874</v>
      </c>
      <c r="G17" s="2">
        <v>45750000</v>
      </c>
      <c r="H17">
        <v>2.64</v>
      </c>
    </row>
    <row r="18" spans="1:8" x14ac:dyDescent="0.2">
      <c r="A18">
        <v>2042</v>
      </c>
      <c r="B18">
        <v>0</v>
      </c>
      <c r="C18">
        <v>51000000</v>
      </c>
      <c r="D18">
        <v>264000</v>
      </c>
      <c r="E18">
        <v>1.98926</v>
      </c>
      <c r="F18" s="2">
        <f t="shared" si="0"/>
        <v>3439900687735.3477</v>
      </c>
      <c r="G18" s="2">
        <v>46480000</v>
      </c>
      <c r="H18">
        <v>2.66</v>
      </c>
    </row>
    <row r="19" spans="1:8" x14ac:dyDescent="0.2">
      <c r="A19">
        <v>2043</v>
      </c>
      <c r="B19">
        <v>0</v>
      </c>
      <c r="C19">
        <v>51000000</v>
      </c>
      <c r="D19">
        <v>264000</v>
      </c>
      <c r="E19">
        <v>1.98926</v>
      </c>
      <c r="F19" s="2">
        <f t="shared" si="0"/>
        <v>3508329256156.1919</v>
      </c>
      <c r="G19" s="2">
        <v>47380000</v>
      </c>
      <c r="H19">
        <v>2.69</v>
      </c>
    </row>
    <row r="20" spans="1:8" x14ac:dyDescent="0.2">
      <c r="A20">
        <v>2044</v>
      </c>
      <c r="B20">
        <v>0</v>
      </c>
      <c r="C20">
        <v>51000000</v>
      </c>
      <c r="D20">
        <v>264000</v>
      </c>
      <c r="E20">
        <v>1.98926</v>
      </c>
      <c r="F20" s="2">
        <f t="shared" si="0"/>
        <v>3578119046717.2046</v>
      </c>
      <c r="G20" s="2">
        <v>49170000</v>
      </c>
      <c r="H20">
        <v>2.72</v>
      </c>
    </row>
    <row r="21" spans="1:8" x14ac:dyDescent="0.2">
      <c r="A21">
        <v>2045</v>
      </c>
      <c r="B21">
        <v>0</v>
      </c>
      <c r="C21">
        <v>51000000</v>
      </c>
      <c r="D21">
        <v>264000</v>
      </c>
      <c r="E21">
        <v>1.98926</v>
      </c>
      <c r="F21" s="2">
        <f t="shared" si="0"/>
        <v>3649297137665.9312</v>
      </c>
      <c r="G21" s="2">
        <v>50660000</v>
      </c>
      <c r="H21">
        <v>2.77</v>
      </c>
    </row>
    <row r="22" spans="1:8" x14ac:dyDescent="0.2">
      <c r="F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Ch'ng Zhi Qiang</cp:lastModifiedBy>
  <dcterms:created xsi:type="dcterms:W3CDTF">2026-10-01T01:11:36Z</dcterms:created>
  <dcterms:modified xsi:type="dcterms:W3CDTF">2026-10-03T15:03:08Z</dcterms:modified>
</cp:coreProperties>
</file>