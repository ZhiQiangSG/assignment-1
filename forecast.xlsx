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ngzhiqiang/Documents/assignment 1/"/>
    </mc:Choice>
  </mc:AlternateContent>
  <xr:revisionPtr revIDLastSave="0" documentId="13_ncr:1_{717270EB-BFFF-2048-8EB2-8E5236EE2126}" xr6:coauthVersionLast="47" xr6:coauthVersionMax="47" xr10:uidLastSave="{00000000-0000-0000-0000-000000000000}"/>
  <bookViews>
    <workbookView xWindow="360" yWindow="620" windowWidth="28040" windowHeight="15560" xr2:uid="{FE9074C8-60C1-E643-B8B8-B30BC590767E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1" l="1"/>
  <c r="D46" i="1"/>
  <c r="E46" i="1"/>
  <c r="F46" i="1"/>
  <c r="G46" i="1"/>
  <c r="C46" i="1"/>
  <c r="D45" i="1"/>
  <c r="E45" i="1"/>
  <c r="F45" i="1"/>
  <c r="G45" i="1"/>
  <c r="C45" i="1"/>
  <c r="C50" i="1" l="1"/>
  <c r="C51" i="1"/>
  <c r="C54" i="1"/>
</calcChain>
</file>

<file path=xl/sharedStrings.xml><?xml version="1.0" encoding="utf-8"?>
<sst xmlns="http://schemas.openxmlformats.org/spreadsheetml/2006/main" count="21" uniqueCount="17">
  <si>
    <t>Year</t>
  </si>
  <si>
    <t>2025 Aircraft</t>
  </si>
  <si>
    <t>standard deviation</t>
  </si>
  <si>
    <t>average</t>
  </si>
  <si>
    <t>Stats</t>
  </si>
  <si>
    <t>Percentage Change</t>
  </si>
  <si>
    <t>original</t>
  </si>
  <si>
    <t>model 1</t>
  </si>
  <si>
    <t>Forecast 1</t>
  </si>
  <si>
    <t>Forecast 2</t>
  </si>
  <si>
    <t>Forecast 3</t>
  </si>
  <si>
    <t>Forecast 4</t>
  </si>
  <si>
    <t>Forecast 5</t>
  </si>
  <si>
    <t>model 2</t>
  </si>
  <si>
    <t>model 3</t>
  </si>
  <si>
    <t>model 4</t>
  </si>
  <si>
    <t>model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</si>
</sst>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Aircraft</a:t>
            </a:r>
            <a:r>
              <a:rPr lang="en-GB" baseline="0"/>
              <a:t> Movement Forecast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Sheet1!$B$2:$B$42</c:f>
              <c:numCache>
                <c:formatCode>General</c:formatCode>
                <c:ptCount val="41"/>
                <c:pt idx="0">
                  <c:v>193511</c:v>
                </c:pt>
                <c:pt idx="1">
                  <c:v>206693</c:v>
                </c:pt>
                <c:pt idx="2">
                  <c:v>208462</c:v>
                </c:pt>
                <c:pt idx="3">
                  <c:v>193282</c:v>
                </c:pt>
                <c:pt idx="4">
                  <c:v>167817</c:v>
                </c:pt>
                <c:pt idx="5">
                  <c:v>155140</c:v>
                </c:pt>
                <c:pt idx="6">
                  <c:v>148317</c:v>
                </c:pt>
                <c:pt idx="7">
                  <c:v>143511</c:v>
                </c:pt>
                <c:pt idx="8">
                  <c:v>146324</c:v>
                </c:pt>
                <c:pt idx="9">
                  <c:v>157117</c:v>
                </c:pt>
                <c:pt idx="10">
                  <c:v>168629</c:v>
                </c:pt>
                <c:pt idx="11">
                  <c:v>180430</c:v>
                </c:pt>
                <c:pt idx="12">
                  <c:v>189919</c:v>
                </c:pt>
                <c:pt idx="13">
                  <c:v>201614</c:v>
                </c:pt>
                <c:pt idx="14">
                  <c:v>199925</c:v>
                </c:pt>
                <c:pt idx="15">
                  <c:v>86107</c:v>
                </c:pt>
                <c:pt idx="16">
                  <c:v>93316</c:v>
                </c:pt>
                <c:pt idx="17">
                  <c:v>159502</c:v>
                </c:pt>
                <c:pt idx="18">
                  <c:v>179135</c:v>
                </c:pt>
                <c:pt idx="19">
                  <c:v>201031</c:v>
                </c:pt>
                <c:pt idx="20">
                  <c:v>194881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0-4943-84BE-B3AF809F58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21">
                  <c:v>198953.0052302269</c:v>
                </c:pt>
                <c:pt idx="22">
                  <c:v>203110.09431467761</c:v>
                </c:pt>
                <c:pt idx="23">
                  <c:v>207354.04506596309</c:v>
                </c:pt>
                <c:pt idx="24">
                  <c:v>211686.67244378489</c:v>
                </c:pt>
                <c:pt idx="25">
                  <c:v>216109.82933111841</c:v>
                </c:pt>
                <c:pt idx="26">
                  <c:v>220625.40732661181</c:v>
                </c:pt>
                <c:pt idx="27">
                  <c:v>225235.3375535447</c:v>
                </c:pt>
                <c:pt idx="28">
                  <c:v>229941.59148568771</c:v>
                </c:pt>
                <c:pt idx="29">
                  <c:v>234746.18179041939</c:v>
                </c:pt>
                <c:pt idx="30">
                  <c:v>239651.1631894598</c:v>
                </c:pt>
                <c:pt idx="31">
                  <c:v>244658.6333375884</c:v>
                </c:pt>
                <c:pt idx="32">
                  <c:v>249770.73371972321</c:v>
                </c:pt>
                <c:pt idx="33">
                  <c:v>254989.65056674441</c:v>
                </c:pt>
                <c:pt idx="34">
                  <c:v>260317.61579045269</c:v>
                </c:pt>
                <c:pt idx="35">
                  <c:v>265756.90793806547</c:v>
                </c:pt>
                <c:pt idx="36">
                  <c:v>271309.85316665488</c:v>
                </c:pt>
                <c:pt idx="37">
                  <c:v>276978.82623794832</c:v>
                </c:pt>
                <c:pt idx="38">
                  <c:v>282766.25153391372</c:v>
                </c:pt>
                <c:pt idx="39">
                  <c:v>288674.60409356683</c:v>
                </c:pt>
                <c:pt idx="40">
                  <c:v>294706.41067144088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0-4943-84BE-B3AF809F58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Forecast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21">
                  <c:v>208100.61603226341</c:v>
                </c:pt>
                <c:pt idx="22">
                  <c:v>214486.76120606231</c:v>
                </c:pt>
                <c:pt idx="23">
                  <c:v>220160.46928773879</c:v>
                </c:pt>
                <c:pt idx="24">
                  <c:v>225468.8021459023</c:v>
                </c:pt>
                <c:pt idx="25">
                  <c:v>230253.8307901856</c:v>
                </c:pt>
                <c:pt idx="26">
                  <c:v>236026.0113807251</c:v>
                </c:pt>
                <c:pt idx="27">
                  <c:v>242448.846963377</c:v>
                </c:pt>
                <c:pt idx="28">
                  <c:v>249730.55774138059</c:v>
                </c:pt>
                <c:pt idx="29">
                  <c:v>257552.95897126739</c:v>
                </c:pt>
                <c:pt idx="30">
                  <c:v>264724.95026467339</c:v>
                </c:pt>
                <c:pt idx="31">
                  <c:v>272303.16947896831</c:v>
                </c:pt>
                <c:pt idx="32">
                  <c:v>280977.72634841548</c:v>
                </c:pt>
                <c:pt idx="33">
                  <c:v>288996.24688996992</c:v>
                </c:pt>
                <c:pt idx="34">
                  <c:v>297598.7403445064</c:v>
                </c:pt>
                <c:pt idx="35">
                  <c:v>306256.7412509459</c:v>
                </c:pt>
                <c:pt idx="36">
                  <c:v>315014.99581581022</c:v>
                </c:pt>
                <c:pt idx="37">
                  <c:v>323444.93765986088</c:v>
                </c:pt>
                <c:pt idx="38">
                  <c:v>332288.68288426759</c:v>
                </c:pt>
                <c:pt idx="39">
                  <c:v>341367.67788842198</c:v>
                </c:pt>
                <c:pt idx="40">
                  <c:v>351080.91048934462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0-4943-84BE-B3AF809F583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Sheet1!$E$2:$E$42</c:f>
              <c:numCache>
                <c:formatCode>General</c:formatCode>
                <c:ptCount val="41"/>
                <c:pt idx="21">
                  <c:v>199637.63174999441</c:v>
                </c:pt>
                <c:pt idx="22">
                  <c:v>198726.45064840821</c:v>
                </c:pt>
                <c:pt idx="23">
                  <c:v>198621.93602422351</c:v>
                </c:pt>
                <c:pt idx="24">
                  <c:v>198963.69629182399</c:v>
                </c:pt>
                <c:pt idx="25">
                  <c:v>199860.32773305889</c:v>
                </c:pt>
                <c:pt idx="26">
                  <c:v>201473.28470635609</c:v>
                </c:pt>
                <c:pt idx="27">
                  <c:v>202682.52640379569</c:v>
                </c:pt>
                <c:pt idx="28">
                  <c:v>203349.838738422</c:v>
                </c:pt>
                <c:pt idx="29">
                  <c:v>203768.56131611849</c:v>
                </c:pt>
                <c:pt idx="30">
                  <c:v>204867.2055463898</c:v>
                </c:pt>
                <c:pt idx="31">
                  <c:v>205849.30528691589</c:v>
                </c:pt>
                <c:pt idx="32">
                  <c:v>206199.60751936541</c:v>
                </c:pt>
                <c:pt idx="33">
                  <c:v>207205.6908853692</c:v>
                </c:pt>
                <c:pt idx="34">
                  <c:v>207972.37350167899</c:v>
                </c:pt>
                <c:pt idx="35">
                  <c:v>208876.29919889051</c:v>
                </c:pt>
                <c:pt idx="36">
                  <c:v>209615.76183455679</c:v>
                </c:pt>
                <c:pt idx="37">
                  <c:v>210727.9393697179</c:v>
                </c:pt>
                <c:pt idx="38">
                  <c:v>211728.0372995236</c:v>
                </c:pt>
                <c:pt idx="39">
                  <c:v>212736.90046157021</c:v>
                </c:pt>
                <c:pt idx="40">
                  <c:v>213519.3962179005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B0-4943-84BE-B3AF809F583B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Forecast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Sheet1!$F$2:$F$42</c:f>
              <c:numCache>
                <c:formatCode>General</c:formatCode>
                <c:ptCount val="41"/>
                <c:pt idx="21">
                  <c:v>213050.3801261819</c:v>
                </c:pt>
                <c:pt idx="22">
                  <c:v>216852.89274447839</c:v>
                </c:pt>
                <c:pt idx="23">
                  <c:v>220655.40536277491</c:v>
                </c:pt>
                <c:pt idx="24">
                  <c:v>224457.91798107151</c:v>
                </c:pt>
                <c:pt idx="25">
                  <c:v>228260.430599368</c:v>
                </c:pt>
                <c:pt idx="26">
                  <c:v>232062.94321766449</c:v>
                </c:pt>
                <c:pt idx="27">
                  <c:v>235865.45583596101</c:v>
                </c:pt>
                <c:pt idx="28">
                  <c:v>239667.96845425761</c:v>
                </c:pt>
                <c:pt idx="29">
                  <c:v>243470.4810725541</c:v>
                </c:pt>
                <c:pt idx="30">
                  <c:v>247272.99369085059</c:v>
                </c:pt>
                <c:pt idx="31">
                  <c:v>251075.5063091472</c:v>
                </c:pt>
                <c:pt idx="32">
                  <c:v>254878.01892744371</c:v>
                </c:pt>
                <c:pt idx="33">
                  <c:v>258680.5315457402</c:v>
                </c:pt>
                <c:pt idx="34">
                  <c:v>262483.04416403669</c:v>
                </c:pt>
                <c:pt idx="35">
                  <c:v>266285.5567823333</c:v>
                </c:pt>
                <c:pt idx="36">
                  <c:v>270088.06940062979</c:v>
                </c:pt>
                <c:pt idx="37">
                  <c:v>273890.58201892639</c:v>
                </c:pt>
                <c:pt idx="38">
                  <c:v>277693.09463722288</c:v>
                </c:pt>
                <c:pt idx="39">
                  <c:v>281495.60725551943</c:v>
                </c:pt>
                <c:pt idx="40">
                  <c:v>285298.11987381597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B0-4943-84BE-B3AF809F583B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Forecast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Sheet1!$G$2:$G$42</c:f>
              <c:numCache>
                <c:formatCode>General</c:formatCode>
                <c:ptCount val="41"/>
                <c:pt idx="21">
                  <c:v>222650.00839343559</c:v>
                </c:pt>
                <c:pt idx="22">
                  <c:v>224337.85811596789</c:v>
                </c:pt>
                <c:pt idx="23">
                  <c:v>223065.0367477652</c:v>
                </c:pt>
                <c:pt idx="24">
                  <c:v>221261.61420602829</c:v>
                </c:pt>
                <c:pt idx="25">
                  <c:v>229824.11606062259</c:v>
                </c:pt>
                <c:pt idx="26">
                  <c:v>234083.46770008301</c:v>
                </c:pt>
                <c:pt idx="27">
                  <c:v>235103.46911018019</c:v>
                </c:pt>
                <c:pt idx="28">
                  <c:v>238598.8159453352</c:v>
                </c:pt>
                <c:pt idx="29">
                  <c:v>241598.0440361482</c:v>
                </c:pt>
                <c:pt idx="30">
                  <c:v>238714.71247632589</c:v>
                </c:pt>
                <c:pt idx="31">
                  <c:v>239746.8250915854</c:v>
                </c:pt>
                <c:pt idx="32">
                  <c:v>244273.68912889119</c:v>
                </c:pt>
                <c:pt idx="33">
                  <c:v>240561.57557680309</c:v>
                </c:pt>
                <c:pt idx="34">
                  <c:v>240261.75394205959</c:v>
                </c:pt>
                <c:pt idx="35">
                  <c:v>245945.96787229399</c:v>
                </c:pt>
                <c:pt idx="36">
                  <c:v>248087.28834624079</c:v>
                </c:pt>
                <c:pt idx="37">
                  <c:v>249269.73779312719</c:v>
                </c:pt>
                <c:pt idx="38">
                  <c:v>251328.19189009379</c:v>
                </c:pt>
                <c:pt idx="39">
                  <c:v>258012.4241497996</c:v>
                </c:pt>
                <c:pt idx="40">
                  <c:v>262996.69998978049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B0-4943-84BE-B3AF809F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190783"/>
        <c:axId val="1580188991"/>
      </c:lineChart>
      <c:catAx>
        <c:axId val="158019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88991"/>
        <c:crosses val="autoZero"/>
        <c:auto val="1"/>
        <c:lblAlgn val="ctr"/>
        <c:lblOffset val="100"/>
        <c:noMultiLvlLbl val="0"/>
      </c:catAx>
      <c:valAx>
        <c:axId val="158018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Aircraft Movement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9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Aircraft Movement Forecast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(2)'!$B$1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'Sheet1 (2)'!$A$2:$A$42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'Sheet1 (2)'!$B$2:$B$42</c:f>
              <c:numCache>
                <c:formatCode>General</c:formatCode>
                <c:ptCount val="41"/>
                <c:pt idx="0">
                  <c:v>193511</c:v>
                </c:pt>
                <c:pt idx="1">
                  <c:v>206693</c:v>
                </c:pt>
                <c:pt idx="2">
                  <c:v>208462</c:v>
                </c:pt>
                <c:pt idx="3">
                  <c:v>193282</c:v>
                </c:pt>
                <c:pt idx="4">
                  <c:v>167817</c:v>
                </c:pt>
                <c:pt idx="5">
                  <c:v>155140</c:v>
                </c:pt>
                <c:pt idx="6">
                  <c:v>148317</c:v>
                </c:pt>
                <c:pt idx="7">
                  <c:v>143511</c:v>
                </c:pt>
                <c:pt idx="8">
                  <c:v>146324</c:v>
                </c:pt>
                <c:pt idx="9">
                  <c:v>157117</c:v>
                </c:pt>
                <c:pt idx="10">
                  <c:v>168629</c:v>
                </c:pt>
                <c:pt idx="11">
                  <c:v>180430</c:v>
                </c:pt>
                <c:pt idx="12">
                  <c:v>189919</c:v>
                </c:pt>
                <c:pt idx="13">
                  <c:v>201614</c:v>
                </c:pt>
                <c:pt idx="14">
                  <c:v>199925</c:v>
                </c:pt>
                <c:pt idx="15">
                  <c:v>86107</c:v>
                </c:pt>
                <c:pt idx="16">
                  <c:v>93316</c:v>
                </c:pt>
                <c:pt idx="17">
                  <c:v>159502</c:v>
                </c:pt>
                <c:pt idx="18">
                  <c:v>179135</c:v>
                </c:pt>
                <c:pt idx="19">
                  <c:v>201031</c:v>
                </c:pt>
                <c:pt idx="20">
                  <c:v>194881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B-FE4E-A970-3F92737B0A18}"/>
            </c:ext>
          </c:extLst>
        </c:ser>
        <c:ser>
          <c:idx val="1"/>
          <c:order val="1"/>
          <c:tx>
            <c:strRef>
              <c:f>'Sheet1 (2)'!$C$1</c:f>
              <c:strCache>
                <c:ptCount val="1"/>
                <c:pt idx="0">
                  <c:v>model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'Sheet1 (2)'!$A$2:$A$42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'Sheet1 (2)'!$C$2:$C$42</c:f>
              <c:numCache>
                <c:formatCode>General</c:formatCode>
                <c:ptCount val="41"/>
                <c:pt idx="21">
                  <c:v>199590.9</c:v>
                </c:pt>
                <c:pt idx="22">
                  <c:v>204414.6</c:v>
                </c:pt>
                <c:pt idx="23">
                  <c:v>209354.8</c:v>
                </c:pt>
                <c:pt idx="24">
                  <c:v>214414.5</c:v>
                </c:pt>
                <c:pt idx="25">
                  <c:v>219596.4</c:v>
                </c:pt>
                <c:pt idx="26">
                  <c:v>224903.6</c:v>
                </c:pt>
                <c:pt idx="27">
                  <c:v>230339.1</c:v>
                </c:pt>
                <c:pt idx="28">
                  <c:v>235905.9</c:v>
                </c:pt>
                <c:pt idx="29">
                  <c:v>241607.2</c:v>
                </c:pt>
                <c:pt idx="30">
                  <c:v>247446.39999999999</c:v>
                </c:pt>
                <c:pt idx="31">
                  <c:v>253426.6</c:v>
                </c:pt>
                <c:pt idx="32">
                  <c:v>259551.4</c:v>
                </c:pt>
                <c:pt idx="33">
                  <c:v>265824.2</c:v>
                </c:pt>
                <c:pt idx="34">
                  <c:v>272248.7</c:v>
                </c:pt>
                <c:pt idx="35">
                  <c:v>278828.3</c:v>
                </c:pt>
                <c:pt idx="36">
                  <c:v>285567</c:v>
                </c:pt>
                <c:pt idx="37">
                  <c:v>292468.59999999998</c:v>
                </c:pt>
                <c:pt idx="38">
                  <c:v>299536.90000000002</c:v>
                </c:pt>
                <c:pt idx="39">
                  <c:v>306776.09999999998</c:v>
                </c:pt>
                <c:pt idx="40">
                  <c:v>314190.3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B-FE4E-A970-3F92737B0A18}"/>
            </c:ext>
          </c:extLst>
        </c:ser>
        <c:ser>
          <c:idx val="2"/>
          <c:order val="2"/>
          <c:tx>
            <c:strRef>
              <c:f>'Sheet1 (2)'!$D$1</c:f>
              <c:strCache>
                <c:ptCount val="1"/>
                <c:pt idx="0">
                  <c:v>model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'Sheet1 (2)'!$A$2:$A$42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'Sheet1 (2)'!$D$2:$D$42</c:f>
              <c:numCache>
                <c:formatCode>General</c:formatCode>
                <c:ptCount val="41"/>
                <c:pt idx="21">
                  <c:v>191717.859375</c:v>
                </c:pt>
                <c:pt idx="22">
                  <c:v>189419.1875</c:v>
                </c:pt>
                <c:pt idx="23">
                  <c:v>189954.015625</c:v>
                </c:pt>
                <c:pt idx="24">
                  <c:v>191558.375</c:v>
                </c:pt>
                <c:pt idx="25">
                  <c:v>192323.875</c:v>
                </c:pt>
                <c:pt idx="26">
                  <c:v>198284.359375</c:v>
                </c:pt>
                <c:pt idx="27">
                  <c:v>202055.0625</c:v>
                </c:pt>
                <c:pt idx="28">
                  <c:v>208763.640625</c:v>
                </c:pt>
                <c:pt idx="29">
                  <c:v>214571.59375</c:v>
                </c:pt>
                <c:pt idx="30">
                  <c:v>217627.578125</c:v>
                </c:pt>
                <c:pt idx="31">
                  <c:v>220334.578125</c:v>
                </c:pt>
                <c:pt idx="32">
                  <c:v>228552.015625</c:v>
                </c:pt>
                <c:pt idx="33">
                  <c:v>233792.75</c:v>
                </c:pt>
                <c:pt idx="34">
                  <c:v>241335.25</c:v>
                </c:pt>
                <c:pt idx="35">
                  <c:v>246024.0625</c:v>
                </c:pt>
                <c:pt idx="36">
                  <c:v>253567.765625</c:v>
                </c:pt>
                <c:pt idx="37">
                  <c:v>258581.71875</c:v>
                </c:pt>
                <c:pt idx="38">
                  <c:v>269563.375</c:v>
                </c:pt>
                <c:pt idx="39">
                  <c:v>276114.8125</c:v>
                </c:pt>
                <c:pt idx="40">
                  <c:v>287658.25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B-FE4E-A970-3F92737B0A18}"/>
            </c:ext>
          </c:extLst>
        </c:ser>
        <c:ser>
          <c:idx val="3"/>
          <c:order val="3"/>
          <c:tx>
            <c:strRef>
              <c:f>'Sheet1 (2)'!$E$1</c:f>
              <c:strCache>
                <c:ptCount val="1"/>
                <c:pt idx="0">
                  <c:v>model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'Sheet1 (2)'!$A$2:$A$42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'Sheet1 (2)'!$E$2:$E$42</c:f>
              <c:numCache>
                <c:formatCode>General</c:formatCode>
                <c:ptCount val="41"/>
                <c:pt idx="21">
                  <c:v>208100.61603226341</c:v>
                </c:pt>
                <c:pt idx="22">
                  <c:v>214486.76120606231</c:v>
                </c:pt>
                <c:pt idx="23">
                  <c:v>220160.46928773879</c:v>
                </c:pt>
                <c:pt idx="24">
                  <c:v>225468.8021459023</c:v>
                </c:pt>
                <c:pt idx="25">
                  <c:v>230253.8307901856</c:v>
                </c:pt>
                <c:pt idx="26">
                  <c:v>236026.0113807251</c:v>
                </c:pt>
                <c:pt idx="27">
                  <c:v>242448.846963377</c:v>
                </c:pt>
                <c:pt idx="28">
                  <c:v>249730.55774138059</c:v>
                </c:pt>
                <c:pt idx="29">
                  <c:v>257552.95897126739</c:v>
                </c:pt>
                <c:pt idx="30">
                  <c:v>264724.95026467339</c:v>
                </c:pt>
                <c:pt idx="31">
                  <c:v>272303.16947896831</c:v>
                </c:pt>
                <c:pt idx="32">
                  <c:v>280977.72634841548</c:v>
                </c:pt>
                <c:pt idx="33">
                  <c:v>288996.24688996992</c:v>
                </c:pt>
                <c:pt idx="34">
                  <c:v>297598.7403445064</c:v>
                </c:pt>
                <c:pt idx="35">
                  <c:v>306256.7412509459</c:v>
                </c:pt>
                <c:pt idx="36">
                  <c:v>315014.99581581022</c:v>
                </c:pt>
                <c:pt idx="37">
                  <c:v>323444.93765986088</c:v>
                </c:pt>
                <c:pt idx="38">
                  <c:v>332288.68288426759</c:v>
                </c:pt>
                <c:pt idx="39">
                  <c:v>341367.67788842198</c:v>
                </c:pt>
                <c:pt idx="40">
                  <c:v>351080.91048934462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8B-FE4E-A970-3F92737B0A18}"/>
            </c:ext>
          </c:extLst>
        </c:ser>
        <c:ser>
          <c:idx val="4"/>
          <c:order val="4"/>
          <c:tx>
            <c:strRef>
              <c:f>'Sheet1 (2)'!$F$1</c:f>
              <c:strCache>
                <c:ptCount val="1"/>
                <c:pt idx="0">
                  <c:v>model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'Sheet1 (2)'!$A$2:$A$42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'Sheet1 (2)'!$F$2:$F$42</c:f>
              <c:numCache>
                <c:formatCode>General</c:formatCode>
                <c:ptCount val="41"/>
                <c:pt idx="21">
                  <c:v>199637.63174999441</c:v>
                </c:pt>
                <c:pt idx="22">
                  <c:v>198726.45064840821</c:v>
                </c:pt>
                <c:pt idx="23">
                  <c:v>198621.93602422351</c:v>
                </c:pt>
                <c:pt idx="24">
                  <c:v>198963.69629182399</c:v>
                </c:pt>
                <c:pt idx="25">
                  <c:v>199860.32773305889</c:v>
                </c:pt>
                <c:pt idx="26">
                  <c:v>201473.28470635609</c:v>
                </c:pt>
                <c:pt idx="27">
                  <c:v>202682.52640379569</c:v>
                </c:pt>
                <c:pt idx="28">
                  <c:v>203349.838738422</c:v>
                </c:pt>
                <c:pt idx="29">
                  <c:v>203768.56131611849</c:v>
                </c:pt>
                <c:pt idx="30">
                  <c:v>204867.2055463898</c:v>
                </c:pt>
                <c:pt idx="31">
                  <c:v>205849.30528691589</c:v>
                </c:pt>
                <c:pt idx="32">
                  <c:v>206199.60751936541</c:v>
                </c:pt>
                <c:pt idx="33">
                  <c:v>207205.6908853692</c:v>
                </c:pt>
                <c:pt idx="34">
                  <c:v>207972.37350167899</c:v>
                </c:pt>
                <c:pt idx="35">
                  <c:v>208876.29919889051</c:v>
                </c:pt>
                <c:pt idx="36">
                  <c:v>209615.76183455679</c:v>
                </c:pt>
                <c:pt idx="37">
                  <c:v>210727.9393697179</c:v>
                </c:pt>
                <c:pt idx="38">
                  <c:v>211728.0372995236</c:v>
                </c:pt>
                <c:pt idx="39">
                  <c:v>212736.90046157021</c:v>
                </c:pt>
                <c:pt idx="40">
                  <c:v>213519.3962179005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8B-FE4E-A970-3F92737B0A18}"/>
            </c:ext>
          </c:extLst>
        </c:ser>
        <c:ser>
          <c:idx val="5"/>
          <c:order val="5"/>
          <c:tx>
            <c:strRef>
              <c:f>'Sheet1 (2)'!$G$1</c:f>
              <c:strCache>
                <c:ptCount val="1"/>
                <c:pt idx="0">
                  <c:v>model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'Sheet1 (2)'!$A$2:$A$42</c:f>
              <c:numCache>
                <c:formatCode>General</c:formatCode>
                <c:ptCount val="4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  <c:pt idx="36">
                  <c:v>2041</c:v>
                </c:pt>
                <c:pt idx="37">
                  <c:v>2042</c:v>
                </c:pt>
                <c:pt idx="38">
                  <c:v>2043</c:v>
                </c:pt>
                <c:pt idx="39">
                  <c:v>2044</c:v>
                </c:pt>
                <c:pt idx="40">
                  <c:v>2045</c:v>
                </c:pt>
              </c:numCache>
            </c:numRef>
          </c:cat>
          <c:val>
            <c:numRef>
              <c:f>'Sheet1 (2)'!$G$2:$G$42</c:f>
              <c:numCache>
                <c:formatCode>General</c:formatCode>
                <c:ptCount val="41"/>
                <c:pt idx="21">
                  <c:v>222650.00839343559</c:v>
                </c:pt>
                <c:pt idx="22">
                  <c:v>224337.85811596789</c:v>
                </c:pt>
                <c:pt idx="23">
                  <c:v>223065.0367477652</c:v>
                </c:pt>
                <c:pt idx="24">
                  <c:v>221261.61420602829</c:v>
                </c:pt>
                <c:pt idx="25">
                  <c:v>229824.11606062259</c:v>
                </c:pt>
                <c:pt idx="26">
                  <c:v>234083.46770008301</c:v>
                </c:pt>
                <c:pt idx="27">
                  <c:v>235103.46911018019</c:v>
                </c:pt>
                <c:pt idx="28">
                  <c:v>238598.8159453352</c:v>
                </c:pt>
                <c:pt idx="29">
                  <c:v>241598.0440361482</c:v>
                </c:pt>
                <c:pt idx="30">
                  <c:v>238714.71247632589</c:v>
                </c:pt>
                <c:pt idx="31">
                  <c:v>239746.8250915854</c:v>
                </c:pt>
                <c:pt idx="32">
                  <c:v>244273.68912889119</c:v>
                </c:pt>
                <c:pt idx="33">
                  <c:v>240561.57557680309</c:v>
                </c:pt>
                <c:pt idx="34">
                  <c:v>240261.75394205959</c:v>
                </c:pt>
                <c:pt idx="35">
                  <c:v>245945.96787229399</c:v>
                </c:pt>
                <c:pt idx="36">
                  <c:v>248087.28834624079</c:v>
                </c:pt>
                <c:pt idx="37">
                  <c:v>249269.73779312719</c:v>
                </c:pt>
                <c:pt idx="38">
                  <c:v>251328.19189009379</c:v>
                </c:pt>
                <c:pt idx="39">
                  <c:v>258012.4241497996</c:v>
                </c:pt>
                <c:pt idx="40">
                  <c:v>262996.69998978049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8B-FE4E-A970-3F92737B0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749119"/>
        <c:axId val="1652243327"/>
      </c:lineChart>
      <c:catAx>
        <c:axId val="155474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43327"/>
        <c:crosses val="autoZero"/>
        <c:auto val="1"/>
        <c:lblAlgn val="ctr"/>
        <c:lblOffset val="100"/>
        <c:noMultiLvlLbl val="0"/>
      </c:catAx>
      <c:valAx>
        <c:axId val="16522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Aircraft Movement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4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626533</xdr:colOff>
      <xdr:row>2</xdr:row>
      <xdr:rowOff>122766</xdr:rowOff>
    </xdr:from>
    <xdr:to>
      <xdr:col>15</xdr:col>
      <xdr:colOff>245533</xdr:colOff>
      <xdr:row>16</xdr:row>
      <xdr:rowOff>21166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730C45-142E-E4A8-C932-27272B9EC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</xdr:row>
      <xdr:rowOff>0</xdr:rowOff>
    </xdr:from>
    <xdr:to>
      <xdr:col>13</xdr:col>
      <xdr:colOff>463550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CE42A-D235-03A8-E4BF-944186AB9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D294-52AA-504B-88EB-999139DFA142}">
  <dimension ref="A1:I54"/>
  <sheetViews>
    <sheetView tabSelected="1" topLeftCell="A28" zoomScale="115" workbookViewId="0">
      <selection activeCell="I50" sqref="I50"/>
    </sheetView>
  </sheetViews>
  <sheetFormatPr baseColWidth="10" defaultRowHeight="16" x14ac:dyDescent="0.2"/>
  <cols>
    <col min="1" max="1" width="17" bestFit="1" customWidth="1"/>
    <col min="2" max="2" width="17" customWidth="1"/>
    <col min="3" max="3" width="14.5" bestFit="1" customWidth="1"/>
    <col min="4" max="7" width="12.1640625" bestFit="1" customWidth="1"/>
    <col min="9" max="9" width="11.5" bestFit="1" customWidth="1"/>
  </cols>
  <sheetData>
    <row r="1" spans="1:9" x14ac:dyDescent="0.2">
      <c r="A1" t="s">
        <v>0</v>
      </c>
      <c r="B1" t="s">
        <v>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I1" t="s">
        <v>1</v>
      </c>
    </row>
    <row r="2" spans="1:9" x14ac:dyDescent="0.2">
      <c r="A2">
        <v>2005</v>
      </c>
      <c r="B2" s="2">
        <v>193511</v>
      </c>
    </row>
    <row r="3" spans="1:9" x14ac:dyDescent="0.2">
      <c r="A3">
        <v>2006</v>
      </c>
      <c r="B3" s="2">
        <v>206693</v>
      </c>
    </row>
    <row r="4" spans="1:9" x14ac:dyDescent="0.2">
      <c r="A4">
        <v>2007</v>
      </c>
      <c r="B4" s="2">
        <v>208462</v>
      </c>
    </row>
    <row r="5" spans="1:9" x14ac:dyDescent="0.2">
      <c r="A5">
        <v>2008</v>
      </c>
      <c r="B5" s="2">
        <v>193282</v>
      </c>
    </row>
    <row r="6" spans="1:9" x14ac:dyDescent="0.2">
      <c r="A6">
        <v>2009</v>
      </c>
      <c r="B6" s="2">
        <v>167817</v>
      </c>
    </row>
    <row r="7" spans="1:9" x14ac:dyDescent="0.2">
      <c r="A7">
        <v>2010</v>
      </c>
      <c r="B7" s="2">
        <v>155140</v>
      </c>
    </row>
    <row r="8" spans="1:9" x14ac:dyDescent="0.2">
      <c r="A8">
        <v>2011</v>
      </c>
      <c r="B8" s="2">
        <v>148317</v>
      </c>
    </row>
    <row r="9" spans="1:9" x14ac:dyDescent="0.2">
      <c r="A9">
        <v>2012</v>
      </c>
      <c r="B9" s="2">
        <v>143511</v>
      </c>
    </row>
    <row r="10" spans="1:9" x14ac:dyDescent="0.2">
      <c r="A10">
        <v>2013</v>
      </c>
      <c r="B10" s="2">
        <v>146324</v>
      </c>
    </row>
    <row r="11" spans="1:9" x14ac:dyDescent="0.2">
      <c r="A11">
        <v>2014</v>
      </c>
      <c r="B11" s="2">
        <v>157117</v>
      </c>
    </row>
    <row r="12" spans="1:9" x14ac:dyDescent="0.2">
      <c r="A12">
        <v>2015</v>
      </c>
      <c r="B12" s="2">
        <v>168629</v>
      </c>
    </row>
    <row r="13" spans="1:9" x14ac:dyDescent="0.2">
      <c r="A13">
        <v>2016</v>
      </c>
      <c r="B13" s="2">
        <v>180430</v>
      </c>
    </row>
    <row r="14" spans="1:9" x14ac:dyDescent="0.2">
      <c r="A14">
        <v>2017</v>
      </c>
      <c r="B14" s="2">
        <v>189919</v>
      </c>
    </row>
    <row r="15" spans="1:9" x14ac:dyDescent="0.2">
      <c r="A15">
        <v>2018</v>
      </c>
      <c r="B15" s="2">
        <v>201614</v>
      </c>
    </row>
    <row r="16" spans="1:9" x14ac:dyDescent="0.2">
      <c r="A16">
        <v>2019</v>
      </c>
      <c r="B16" s="2">
        <v>199925</v>
      </c>
    </row>
    <row r="17" spans="1:9" x14ac:dyDescent="0.2">
      <c r="A17">
        <v>2020</v>
      </c>
      <c r="B17" s="2">
        <v>86107</v>
      </c>
    </row>
    <row r="18" spans="1:9" x14ac:dyDescent="0.2">
      <c r="A18">
        <v>2021</v>
      </c>
      <c r="B18" s="2">
        <v>93316</v>
      </c>
    </row>
    <row r="19" spans="1:9" x14ac:dyDescent="0.2">
      <c r="A19">
        <v>2022</v>
      </c>
      <c r="B19" s="2">
        <v>159502</v>
      </c>
    </row>
    <row r="20" spans="1:9" x14ac:dyDescent="0.2">
      <c r="A20">
        <v>2023</v>
      </c>
      <c r="B20" s="2">
        <v>179135</v>
      </c>
    </row>
    <row r="21" spans="1:9" x14ac:dyDescent="0.2">
      <c r="A21">
        <v>2024</v>
      </c>
      <c r="B21" s="2">
        <v>201031</v>
      </c>
    </row>
    <row r="22" spans="1:9" x14ac:dyDescent="0.2">
      <c r="A22">
        <v>2025</v>
      </c>
      <c r="B22" s="2">
        <v>194881</v>
      </c>
    </row>
    <row r="23" spans="1:9" x14ac:dyDescent="0.2">
      <c r="A23">
        <v>2026</v>
      </c>
      <c r="C23">
        <v>198953.0052302269</v>
      </c>
      <c r="D23">
        <v>208100.61603226341</v>
      </c>
      <c r="E23">
        <v>199637.63174999441</v>
      </c>
      <c r="F23">
        <v>213050.3801261819</v>
      </c>
      <c r="G23">
        <v>222650.00839343559</v>
      </c>
      <c r="I23">
        <v>194881</v>
      </c>
    </row>
    <row r="24" spans="1:9" x14ac:dyDescent="0.2">
      <c r="A24">
        <v>2027</v>
      </c>
      <c r="C24">
        <v>203110.09431467761</v>
      </c>
      <c r="D24">
        <v>214486.76120606231</v>
      </c>
      <c r="E24">
        <v>198726.45064840821</v>
      </c>
      <c r="F24">
        <v>216852.89274447839</v>
      </c>
      <c r="G24">
        <v>224337.85811596789</v>
      </c>
    </row>
    <row r="25" spans="1:9" x14ac:dyDescent="0.2">
      <c r="A25">
        <v>2028</v>
      </c>
      <c r="C25">
        <v>207354.04506596309</v>
      </c>
      <c r="D25">
        <v>220160.46928773879</v>
      </c>
      <c r="E25">
        <v>198621.93602422351</v>
      </c>
      <c r="F25">
        <v>220655.40536277491</v>
      </c>
      <c r="G25">
        <v>223065.0367477652</v>
      </c>
    </row>
    <row r="26" spans="1:9" x14ac:dyDescent="0.2">
      <c r="A26">
        <v>2029</v>
      </c>
      <c r="C26">
        <v>211686.67244378489</v>
      </c>
      <c r="D26">
        <v>225468.8021459023</v>
      </c>
      <c r="E26">
        <v>198963.69629182399</v>
      </c>
      <c r="F26">
        <v>224457.91798107151</v>
      </c>
      <c r="G26">
        <v>221261.61420602829</v>
      </c>
    </row>
    <row r="27" spans="1:9" x14ac:dyDescent="0.2">
      <c r="A27">
        <v>2030</v>
      </c>
      <c r="C27">
        <v>216109.82933111841</v>
      </c>
      <c r="D27">
        <v>230253.8307901856</v>
      </c>
      <c r="E27">
        <v>199860.32773305889</v>
      </c>
      <c r="F27">
        <v>228260.430599368</v>
      </c>
      <c r="G27">
        <v>229824.11606062259</v>
      </c>
    </row>
    <row r="28" spans="1:9" x14ac:dyDescent="0.2">
      <c r="A28">
        <v>2031</v>
      </c>
      <c r="C28">
        <v>220625.40732661181</v>
      </c>
      <c r="D28">
        <v>236026.0113807251</v>
      </c>
      <c r="E28">
        <v>201473.28470635609</v>
      </c>
      <c r="F28">
        <v>232062.94321766449</v>
      </c>
      <c r="G28">
        <v>234083.46770008301</v>
      </c>
    </row>
    <row r="29" spans="1:9" x14ac:dyDescent="0.2">
      <c r="A29">
        <v>2032</v>
      </c>
      <c r="C29">
        <v>225235.3375535447</v>
      </c>
      <c r="D29">
        <v>242448.846963377</v>
      </c>
      <c r="E29">
        <v>202682.52640379569</v>
      </c>
      <c r="F29">
        <v>235865.45583596101</v>
      </c>
      <c r="G29">
        <v>235103.46911018019</v>
      </c>
    </row>
    <row r="30" spans="1:9" x14ac:dyDescent="0.2">
      <c r="A30">
        <v>2033</v>
      </c>
      <c r="C30">
        <v>229941.59148568771</v>
      </c>
      <c r="D30">
        <v>249730.55774138059</v>
      </c>
      <c r="E30">
        <v>203349.838738422</v>
      </c>
      <c r="F30">
        <v>239667.96845425761</v>
      </c>
      <c r="G30">
        <v>238598.8159453352</v>
      </c>
    </row>
    <row r="31" spans="1:9" x14ac:dyDescent="0.2">
      <c r="A31">
        <v>2034</v>
      </c>
      <c r="C31">
        <v>234746.18179041939</v>
      </c>
      <c r="D31">
        <v>257552.95897126739</v>
      </c>
      <c r="E31">
        <v>203768.56131611849</v>
      </c>
      <c r="F31">
        <v>243470.4810725541</v>
      </c>
      <c r="G31">
        <v>241598.0440361482</v>
      </c>
    </row>
    <row r="32" spans="1:9" x14ac:dyDescent="0.2">
      <c r="A32">
        <v>2035</v>
      </c>
      <c r="C32">
        <v>239651.1631894598</v>
      </c>
      <c r="D32">
        <v>264724.95026467339</v>
      </c>
      <c r="E32">
        <v>204867.2055463898</v>
      </c>
      <c r="F32">
        <v>247272.99369085059</v>
      </c>
      <c r="G32">
        <v>238714.71247632589</v>
      </c>
    </row>
    <row r="33" spans="1:7" x14ac:dyDescent="0.2">
      <c r="A33">
        <v>2036</v>
      </c>
      <c r="C33">
        <v>244658.6333375884</v>
      </c>
      <c r="D33">
        <v>272303.16947896831</v>
      </c>
      <c r="E33">
        <v>205849.30528691589</v>
      </c>
      <c r="F33">
        <v>251075.5063091472</v>
      </c>
      <c r="G33">
        <v>239746.8250915854</v>
      </c>
    </row>
    <row r="34" spans="1:7" x14ac:dyDescent="0.2">
      <c r="A34">
        <v>2037</v>
      </c>
      <c r="C34">
        <v>249770.73371972321</v>
      </c>
      <c r="D34">
        <v>280977.72634841548</v>
      </c>
      <c r="E34">
        <v>206199.60751936541</v>
      </c>
      <c r="F34">
        <v>254878.01892744371</v>
      </c>
      <c r="G34">
        <v>244273.68912889119</v>
      </c>
    </row>
    <row r="35" spans="1:7" x14ac:dyDescent="0.2">
      <c r="A35">
        <v>2038</v>
      </c>
      <c r="C35">
        <v>254989.65056674441</v>
      </c>
      <c r="D35">
        <v>288996.24688996992</v>
      </c>
      <c r="E35">
        <v>207205.6908853692</v>
      </c>
      <c r="F35">
        <v>258680.5315457402</v>
      </c>
      <c r="G35">
        <v>240561.57557680309</v>
      </c>
    </row>
    <row r="36" spans="1:7" x14ac:dyDescent="0.2">
      <c r="A36">
        <v>2039</v>
      </c>
      <c r="C36">
        <v>260317.61579045269</v>
      </c>
      <c r="D36">
        <v>297598.7403445064</v>
      </c>
      <c r="E36">
        <v>207972.37350167899</v>
      </c>
      <c r="F36">
        <v>262483.04416403669</v>
      </c>
      <c r="G36">
        <v>240261.75394205959</v>
      </c>
    </row>
    <row r="37" spans="1:7" x14ac:dyDescent="0.2">
      <c r="A37">
        <v>2040</v>
      </c>
      <c r="C37">
        <v>265756.90793806547</v>
      </c>
      <c r="D37">
        <v>306256.7412509459</v>
      </c>
      <c r="E37">
        <v>208876.29919889051</v>
      </c>
      <c r="F37">
        <v>266285.5567823333</v>
      </c>
      <c r="G37">
        <v>245945.96787229399</v>
      </c>
    </row>
    <row r="38" spans="1:7" x14ac:dyDescent="0.2">
      <c r="A38">
        <v>2041</v>
      </c>
      <c r="C38">
        <v>271309.85316665488</v>
      </c>
      <c r="D38">
        <v>315014.99581581022</v>
      </c>
      <c r="E38">
        <v>209615.76183455679</v>
      </c>
      <c r="F38">
        <v>270088.06940062979</v>
      </c>
      <c r="G38">
        <v>248087.28834624079</v>
      </c>
    </row>
    <row r="39" spans="1:7" x14ac:dyDescent="0.2">
      <c r="A39">
        <v>2042</v>
      </c>
      <c r="C39">
        <v>276978.82623794832</v>
      </c>
      <c r="D39">
        <v>323444.93765986088</v>
      </c>
      <c r="E39">
        <v>210727.9393697179</v>
      </c>
      <c r="F39">
        <v>273890.58201892639</v>
      </c>
      <c r="G39">
        <v>249269.73779312719</v>
      </c>
    </row>
    <row r="40" spans="1:7" x14ac:dyDescent="0.2">
      <c r="A40">
        <v>2043</v>
      </c>
      <c r="C40">
        <v>282766.25153391372</v>
      </c>
      <c r="D40">
        <v>332288.68288426759</v>
      </c>
      <c r="E40">
        <v>211728.0372995236</v>
      </c>
      <c r="F40">
        <v>277693.09463722288</v>
      </c>
      <c r="G40">
        <v>251328.19189009379</v>
      </c>
    </row>
    <row r="41" spans="1:7" x14ac:dyDescent="0.2">
      <c r="A41">
        <v>2044</v>
      </c>
      <c r="C41">
        <v>288674.60409356683</v>
      </c>
      <c r="D41">
        <v>341367.67788842198</v>
      </c>
      <c r="E41">
        <v>212736.90046157021</v>
      </c>
      <c r="F41">
        <v>281495.60725551943</v>
      </c>
      <c r="G41">
        <v>258012.4241497996</v>
      </c>
    </row>
    <row r="42" spans="1:7" x14ac:dyDescent="0.2">
      <c r="A42">
        <v>2045</v>
      </c>
      <c r="C42">
        <v>294706.41067144088</v>
      </c>
      <c r="D42">
        <v>351080.91048934462</v>
      </c>
      <c r="E42">
        <v>213519.3962179005</v>
      </c>
      <c r="F42">
        <v>285298.11987381597</v>
      </c>
      <c r="G42">
        <v>262996.69998978049</v>
      </c>
    </row>
    <row r="44" spans="1:7" x14ac:dyDescent="0.2">
      <c r="A44" t="s">
        <v>5</v>
      </c>
    </row>
    <row r="45" spans="1:7" x14ac:dyDescent="0.2">
      <c r="A45">
        <v>2035</v>
      </c>
      <c r="C45">
        <f>(C32-$I$23)/$I$23</f>
        <v>0.22973077513692866</v>
      </c>
      <c r="D45">
        <f t="shared" ref="D45:G45" si="0">(D32-$I$23)/$I$23</f>
        <v>0.35839281543441071</v>
      </c>
      <c r="E45">
        <f t="shared" si="0"/>
        <v>5.1242581608211164E-2</v>
      </c>
      <c r="F45">
        <f t="shared" si="0"/>
        <v>0.26884095263699687</v>
      </c>
      <c r="G45">
        <f t="shared" si="0"/>
        <v>0.22492553135670429</v>
      </c>
    </row>
    <row r="46" spans="1:7" x14ac:dyDescent="0.2">
      <c r="A46">
        <v>2045</v>
      </c>
      <c r="C46">
        <f>(C42-$I$23)/$I$23</f>
        <v>0.51223777931887093</v>
      </c>
      <c r="D46">
        <f t="shared" ref="D46:G46" si="1">(D42-$I$23)/$I$23</f>
        <v>0.80151431124298733</v>
      </c>
      <c r="E46">
        <f t="shared" si="1"/>
        <v>9.56398839183938E-2</v>
      </c>
      <c r="F46">
        <f t="shared" si="1"/>
        <v>0.46396067278911735</v>
      </c>
      <c r="G46">
        <f t="shared" si="1"/>
        <v>0.34952458161534727</v>
      </c>
    </row>
    <row r="48" spans="1:7" x14ac:dyDescent="0.2">
      <c r="A48" t="s">
        <v>4</v>
      </c>
    </row>
    <row r="49" spans="1:3" x14ac:dyDescent="0.2">
      <c r="A49">
        <v>2035</v>
      </c>
    </row>
    <row r="50" spans="1:3" x14ac:dyDescent="0.2">
      <c r="A50" t="s">
        <v>3</v>
      </c>
      <c r="C50">
        <f>SUM(C45:G45)/5</f>
        <v>0.22662653123465032</v>
      </c>
    </row>
    <row r="51" spans="1:3" x14ac:dyDescent="0.2">
      <c r="A51" t="s">
        <v>2</v>
      </c>
      <c r="C51">
        <f>_xlfn.STDEV.P(C45:G45)</f>
        <v>9.9916435628484943E-2</v>
      </c>
    </row>
    <row r="52" spans="1:3" x14ac:dyDescent="0.2">
      <c r="A52">
        <v>2045</v>
      </c>
    </row>
    <row r="53" spans="1:3" x14ac:dyDescent="0.2">
      <c r="A53" t="s">
        <v>3</v>
      </c>
      <c r="C53">
        <f>SUM(C46:G46)/5</f>
        <v>0.4445754457769433</v>
      </c>
    </row>
    <row r="54" spans="1:3" x14ac:dyDescent="0.2">
      <c r="A54" t="s">
        <v>2</v>
      </c>
      <c r="C54">
        <f>_xlfn.STDEV.P(C46:G46)</f>
        <v>0.22941230359082615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ADAD-AAE1-A949-8E65-6EDBC9C172FF}">
  <dimension ref="A1:G42"/>
  <sheetViews>
    <sheetView workbookViewId="0">
      <selection activeCell="O28" sqref="O28"/>
    </sheetView>
  </sheetViews>
  <sheetFormatPr baseColWidth="10" defaultRowHeight="16" x14ac:dyDescent="0.2"/>
  <cols>
    <col min="2" max="2" width="7.1640625" bestFit="1" customWidth="1"/>
    <col min="3" max="3" width="9.1640625" bestFit="1" customWidth="1"/>
    <col min="4" max="4" width="9.1640625" customWidth="1"/>
    <col min="5" max="7" width="12.1640625" bestFit="1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">
      <c r="A2">
        <v>2005</v>
      </c>
      <c r="B2" s="2">
        <v>193511</v>
      </c>
    </row>
    <row r="3" spans="1:7" x14ac:dyDescent="0.2">
      <c r="A3">
        <v>2006</v>
      </c>
      <c r="B3" s="2">
        <v>206693</v>
      </c>
    </row>
    <row r="4" spans="1:7" x14ac:dyDescent="0.2">
      <c r="A4">
        <v>2007</v>
      </c>
      <c r="B4" s="2">
        <v>208462</v>
      </c>
    </row>
    <row r="5" spans="1:7" x14ac:dyDescent="0.2">
      <c r="A5">
        <v>2008</v>
      </c>
      <c r="B5" s="2">
        <v>193282</v>
      </c>
    </row>
    <row r="6" spans="1:7" x14ac:dyDescent="0.2">
      <c r="A6">
        <v>2009</v>
      </c>
      <c r="B6" s="2">
        <v>167817</v>
      </c>
    </row>
    <row r="7" spans="1:7" x14ac:dyDescent="0.2">
      <c r="A7">
        <v>2010</v>
      </c>
      <c r="B7" s="2">
        <v>155140</v>
      </c>
    </row>
    <row r="8" spans="1:7" x14ac:dyDescent="0.2">
      <c r="A8">
        <v>2011</v>
      </c>
      <c r="B8" s="2">
        <v>148317</v>
      </c>
    </row>
    <row r="9" spans="1:7" x14ac:dyDescent="0.2">
      <c r="A9">
        <v>2012</v>
      </c>
      <c r="B9" s="2">
        <v>143511</v>
      </c>
    </row>
    <row r="10" spans="1:7" x14ac:dyDescent="0.2">
      <c r="A10">
        <v>2013</v>
      </c>
      <c r="B10" s="2">
        <v>146324</v>
      </c>
    </row>
    <row r="11" spans="1:7" x14ac:dyDescent="0.2">
      <c r="A11">
        <v>2014</v>
      </c>
      <c r="B11" s="2">
        <v>157117</v>
      </c>
    </row>
    <row r="12" spans="1:7" x14ac:dyDescent="0.2">
      <c r="A12">
        <v>2015</v>
      </c>
      <c r="B12" s="2">
        <v>168629</v>
      </c>
    </row>
    <row r="13" spans="1:7" x14ac:dyDescent="0.2">
      <c r="A13">
        <v>2016</v>
      </c>
      <c r="B13" s="2">
        <v>180430</v>
      </c>
    </row>
    <row r="14" spans="1:7" x14ac:dyDescent="0.2">
      <c r="A14">
        <v>2017</v>
      </c>
      <c r="B14" s="2">
        <v>189919</v>
      </c>
    </row>
    <row r="15" spans="1:7" x14ac:dyDescent="0.2">
      <c r="A15">
        <v>2018</v>
      </c>
      <c r="B15" s="2">
        <v>201614</v>
      </c>
    </row>
    <row r="16" spans="1:7" x14ac:dyDescent="0.2">
      <c r="A16">
        <v>2019</v>
      </c>
      <c r="B16" s="2">
        <v>199925</v>
      </c>
    </row>
    <row r="17" spans="1:7" x14ac:dyDescent="0.2">
      <c r="A17">
        <v>2020</v>
      </c>
      <c r="B17" s="2">
        <v>86107</v>
      </c>
    </row>
    <row r="18" spans="1:7" x14ac:dyDescent="0.2">
      <c r="A18">
        <v>2021</v>
      </c>
      <c r="B18" s="2">
        <v>93316</v>
      </c>
    </row>
    <row r="19" spans="1:7" x14ac:dyDescent="0.2">
      <c r="A19">
        <v>2022</v>
      </c>
      <c r="B19" s="2">
        <v>159502</v>
      </c>
    </row>
    <row r="20" spans="1:7" x14ac:dyDescent="0.2">
      <c r="A20">
        <v>2023</v>
      </c>
      <c r="B20" s="2">
        <v>179135</v>
      </c>
    </row>
    <row r="21" spans="1:7" x14ac:dyDescent="0.2">
      <c r="A21">
        <v>2024</v>
      </c>
      <c r="B21" s="2">
        <v>201031</v>
      </c>
    </row>
    <row r="22" spans="1:7" x14ac:dyDescent="0.2">
      <c r="A22">
        <v>2025</v>
      </c>
      <c r="B22" s="2">
        <v>194881</v>
      </c>
    </row>
    <row r="23" spans="1:7" x14ac:dyDescent="0.2">
      <c r="A23">
        <v>2026</v>
      </c>
      <c r="C23" s="1">
        <v>199590.9</v>
      </c>
      <c r="D23">
        <v>191717.859375</v>
      </c>
      <c r="E23">
        <v>208100.61603226341</v>
      </c>
      <c r="F23">
        <v>199637.63174999441</v>
      </c>
      <c r="G23">
        <v>222650.00839343559</v>
      </c>
    </row>
    <row r="24" spans="1:7" x14ac:dyDescent="0.2">
      <c r="A24">
        <v>2027</v>
      </c>
      <c r="C24" s="1">
        <v>204414.6</v>
      </c>
      <c r="D24">
        <v>189419.1875</v>
      </c>
      <c r="E24">
        <v>214486.76120606231</v>
      </c>
      <c r="F24">
        <v>198726.45064840821</v>
      </c>
      <c r="G24">
        <v>224337.85811596789</v>
      </c>
    </row>
    <row r="25" spans="1:7" x14ac:dyDescent="0.2">
      <c r="A25">
        <v>2028</v>
      </c>
      <c r="C25" s="1">
        <v>209354.8</v>
      </c>
      <c r="D25">
        <v>189954.015625</v>
      </c>
      <c r="E25">
        <v>220160.46928773879</v>
      </c>
      <c r="F25">
        <v>198621.93602422351</v>
      </c>
      <c r="G25">
        <v>223065.0367477652</v>
      </c>
    </row>
    <row r="26" spans="1:7" x14ac:dyDescent="0.2">
      <c r="A26">
        <v>2029</v>
      </c>
      <c r="C26" s="1">
        <v>214414.5</v>
      </c>
      <c r="D26">
        <v>191558.375</v>
      </c>
      <c r="E26">
        <v>225468.8021459023</v>
      </c>
      <c r="F26">
        <v>198963.69629182399</v>
      </c>
      <c r="G26">
        <v>221261.61420602829</v>
      </c>
    </row>
    <row r="27" spans="1:7" x14ac:dyDescent="0.2">
      <c r="A27">
        <v>2030</v>
      </c>
      <c r="C27" s="1">
        <v>219596.4</v>
      </c>
      <c r="D27">
        <v>192323.875</v>
      </c>
      <c r="E27">
        <v>230253.8307901856</v>
      </c>
      <c r="F27">
        <v>199860.32773305889</v>
      </c>
      <c r="G27">
        <v>229824.11606062259</v>
      </c>
    </row>
    <row r="28" spans="1:7" x14ac:dyDescent="0.2">
      <c r="A28">
        <v>2031</v>
      </c>
      <c r="C28" s="1">
        <v>224903.6</v>
      </c>
      <c r="D28">
        <v>198284.359375</v>
      </c>
      <c r="E28">
        <v>236026.0113807251</v>
      </c>
      <c r="F28">
        <v>201473.28470635609</v>
      </c>
      <c r="G28">
        <v>234083.46770008301</v>
      </c>
    </row>
    <row r="29" spans="1:7" x14ac:dyDescent="0.2">
      <c r="A29">
        <v>2032</v>
      </c>
      <c r="C29" s="1">
        <v>230339.1</v>
      </c>
      <c r="D29">
        <v>202055.0625</v>
      </c>
      <c r="E29">
        <v>242448.846963377</v>
      </c>
      <c r="F29">
        <v>202682.52640379569</v>
      </c>
      <c r="G29">
        <v>235103.46911018019</v>
      </c>
    </row>
    <row r="30" spans="1:7" x14ac:dyDescent="0.2">
      <c r="A30">
        <v>2033</v>
      </c>
      <c r="C30" s="1">
        <v>235905.9</v>
      </c>
      <c r="D30">
        <v>208763.640625</v>
      </c>
      <c r="E30">
        <v>249730.55774138059</v>
      </c>
      <c r="F30">
        <v>203349.838738422</v>
      </c>
      <c r="G30">
        <v>238598.8159453352</v>
      </c>
    </row>
    <row r="31" spans="1:7" x14ac:dyDescent="0.2">
      <c r="A31">
        <v>2034</v>
      </c>
      <c r="C31" s="1">
        <v>241607.2</v>
      </c>
      <c r="D31">
        <v>214571.59375</v>
      </c>
      <c r="E31">
        <v>257552.95897126739</v>
      </c>
      <c r="F31">
        <v>203768.56131611849</v>
      </c>
      <c r="G31">
        <v>241598.0440361482</v>
      </c>
    </row>
    <row r="32" spans="1:7" x14ac:dyDescent="0.2">
      <c r="A32">
        <v>2035</v>
      </c>
      <c r="C32" s="1">
        <v>247446.39999999999</v>
      </c>
      <c r="D32">
        <v>217627.578125</v>
      </c>
      <c r="E32">
        <v>264724.95026467339</v>
      </c>
      <c r="F32">
        <v>204867.2055463898</v>
      </c>
      <c r="G32">
        <v>238714.71247632589</v>
      </c>
    </row>
    <row r="33" spans="1:7" x14ac:dyDescent="0.2">
      <c r="A33">
        <v>2036</v>
      </c>
      <c r="C33" s="1">
        <v>253426.6</v>
      </c>
      <c r="D33">
        <v>220334.578125</v>
      </c>
      <c r="E33">
        <v>272303.16947896831</v>
      </c>
      <c r="F33">
        <v>205849.30528691589</v>
      </c>
      <c r="G33">
        <v>239746.8250915854</v>
      </c>
    </row>
    <row r="34" spans="1:7" x14ac:dyDescent="0.2">
      <c r="A34">
        <v>2037</v>
      </c>
      <c r="C34" s="1">
        <v>259551.4</v>
      </c>
      <c r="D34">
        <v>228552.015625</v>
      </c>
      <c r="E34">
        <v>280977.72634841548</v>
      </c>
      <c r="F34">
        <v>206199.60751936541</v>
      </c>
      <c r="G34">
        <v>244273.68912889119</v>
      </c>
    </row>
    <row r="35" spans="1:7" x14ac:dyDescent="0.2">
      <c r="A35">
        <v>2038</v>
      </c>
      <c r="C35" s="1">
        <v>265824.2</v>
      </c>
      <c r="D35">
        <v>233792.75</v>
      </c>
      <c r="E35">
        <v>288996.24688996992</v>
      </c>
      <c r="F35">
        <v>207205.6908853692</v>
      </c>
      <c r="G35">
        <v>240561.57557680309</v>
      </c>
    </row>
    <row r="36" spans="1:7" x14ac:dyDescent="0.2">
      <c r="A36">
        <v>2039</v>
      </c>
      <c r="C36" s="1">
        <v>272248.7</v>
      </c>
      <c r="D36">
        <v>241335.25</v>
      </c>
      <c r="E36">
        <v>297598.7403445064</v>
      </c>
      <c r="F36">
        <v>207972.37350167899</v>
      </c>
      <c r="G36">
        <v>240261.75394205959</v>
      </c>
    </row>
    <row r="37" spans="1:7" x14ac:dyDescent="0.2">
      <c r="A37">
        <v>2040</v>
      </c>
      <c r="C37" s="1">
        <v>278828.3</v>
      </c>
      <c r="D37">
        <v>246024.0625</v>
      </c>
      <c r="E37">
        <v>306256.7412509459</v>
      </c>
      <c r="F37">
        <v>208876.29919889051</v>
      </c>
      <c r="G37">
        <v>245945.96787229399</v>
      </c>
    </row>
    <row r="38" spans="1:7" x14ac:dyDescent="0.2">
      <c r="A38">
        <v>2041</v>
      </c>
      <c r="C38" s="1">
        <v>285567</v>
      </c>
      <c r="D38">
        <v>253567.765625</v>
      </c>
      <c r="E38">
        <v>315014.99581581022</v>
      </c>
      <c r="F38">
        <v>209615.76183455679</v>
      </c>
      <c r="G38">
        <v>248087.28834624079</v>
      </c>
    </row>
    <row r="39" spans="1:7" x14ac:dyDescent="0.2">
      <c r="A39">
        <v>2042</v>
      </c>
      <c r="C39" s="1">
        <v>292468.59999999998</v>
      </c>
      <c r="D39">
        <v>258581.71875</v>
      </c>
      <c r="E39">
        <v>323444.93765986088</v>
      </c>
      <c r="F39">
        <v>210727.9393697179</v>
      </c>
      <c r="G39">
        <v>249269.73779312719</v>
      </c>
    </row>
    <row r="40" spans="1:7" x14ac:dyDescent="0.2">
      <c r="A40">
        <v>2043</v>
      </c>
      <c r="C40" s="1">
        <v>299536.90000000002</v>
      </c>
      <c r="D40">
        <v>269563.375</v>
      </c>
      <c r="E40">
        <v>332288.68288426759</v>
      </c>
      <c r="F40">
        <v>211728.0372995236</v>
      </c>
      <c r="G40">
        <v>251328.19189009379</v>
      </c>
    </row>
    <row r="41" spans="1:7" x14ac:dyDescent="0.2">
      <c r="A41">
        <v>2044</v>
      </c>
      <c r="C41" s="1">
        <v>306776.09999999998</v>
      </c>
      <c r="D41">
        <v>276114.8125</v>
      </c>
      <c r="E41">
        <v>341367.67788842198</v>
      </c>
      <c r="F41">
        <v>212736.90046157021</v>
      </c>
      <c r="G41">
        <v>258012.4241497996</v>
      </c>
    </row>
    <row r="42" spans="1:7" x14ac:dyDescent="0.2">
      <c r="A42">
        <v>2045</v>
      </c>
      <c r="C42" s="1">
        <v>314190.3</v>
      </c>
      <c r="D42">
        <v>287658.25</v>
      </c>
      <c r="E42">
        <v>351080.91048934462</v>
      </c>
      <c r="F42">
        <v>213519.3962179005</v>
      </c>
      <c r="G42">
        <v>262996.69998978049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Ch'ng Zhi Qiang</dc:creator>
  <cp:lastModifiedBy>Student - Ch'ng Zhi Qiang</cp:lastModifiedBy>
  <dcterms:created xsi:type="dcterms:W3CDTF">2026-10-04T11:46:18Z</dcterms:created>
  <dcterms:modified xsi:type="dcterms:W3CDTF">2026-10-04T12:31:52Z</dcterms:modified>
</cp:coreProperties>
</file>